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Hunter\eco331\notes\"/>
    </mc:Choice>
  </mc:AlternateContent>
  <xr:revisionPtr revIDLastSave="0" documentId="8_{0762507C-5F61-4760-A793-3BA53A9CA27D}" xr6:coauthVersionLast="47" xr6:coauthVersionMax="47" xr10:uidLastSave="{00000000-0000-0000-0000-000000000000}"/>
  <bookViews>
    <workbookView xWindow="-120" yWindow="-120" windowWidth="38640" windowHeight="21120" xr2:uid="{F713BB64-62A8-4725-9FB2-13D30DF246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I4" i="1" s="1"/>
  <c r="K4" i="1" s="1"/>
  <c r="J4" i="1" l="1"/>
  <c r="L4" i="1" s="1"/>
  <c r="F5" i="1" s="1"/>
  <c r="H5" i="1" l="1"/>
  <c r="I5" i="1" l="1"/>
  <c r="K5" i="1" s="1"/>
  <c r="J5" i="1"/>
  <c r="L5" i="1" s="1"/>
  <c r="F6" i="1" s="1"/>
  <c r="H6" i="1" s="1"/>
  <c r="J6" i="1" l="1"/>
  <c r="L6" i="1" s="1"/>
  <c r="I6" i="1"/>
  <c r="K6" i="1" s="1"/>
  <c r="F7" i="1" s="1"/>
  <c r="H7" i="1" s="1"/>
  <c r="I7" i="1" l="1"/>
  <c r="K7" i="1" s="1"/>
  <c r="J7" i="1"/>
  <c r="L7" i="1" s="1"/>
  <c r="F8" i="1" l="1"/>
  <c r="H8" i="1" s="1"/>
  <c r="I8" i="1" l="1"/>
  <c r="K8" i="1" s="1"/>
  <c r="J8" i="1"/>
  <c r="L8" i="1" s="1"/>
  <c r="F9" i="1" l="1"/>
  <c r="H9" i="1" s="1"/>
  <c r="I9" i="1" s="1"/>
  <c r="K9" i="1" s="1"/>
  <c r="J9" i="1" l="1"/>
  <c r="L9" i="1" s="1"/>
  <c r="F10" i="1"/>
  <c r="H10" i="1" l="1"/>
  <c r="I10" i="1" l="1"/>
  <c r="K10" i="1" s="1"/>
  <c r="J10" i="1"/>
  <c r="L10" i="1" s="1"/>
  <c r="F11" i="1" l="1"/>
  <c r="H11" i="1" s="1"/>
  <c r="I11" i="1"/>
  <c r="K11" i="1" s="1"/>
  <c r="J11" i="1"/>
  <c r="L11" i="1" l="1"/>
  <c r="F12" i="1" s="1"/>
  <c r="H12" i="1" l="1"/>
  <c r="I12" i="1" l="1"/>
  <c r="K12" i="1" s="1"/>
  <c r="J12" i="1"/>
  <c r="L12" i="1" l="1"/>
  <c r="F13" i="1" s="1"/>
  <c r="H13" i="1" l="1"/>
  <c r="J13" i="1" l="1"/>
  <c r="I13" i="1"/>
  <c r="K13" i="1" s="1"/>
  <c r="L13" i="1" l="1"/>
  <c r="F14" i="1" s="1"/>
  <c r="H14" i="1" l="1"/>
  <c r="I14" i="1" l="1"/>
  <c r="K14" i="1" s="1"/>
  <c r="J14" i="1"/>
  <c r="L14" i="1" l="1"/>
  <c r="F15" i="1" s="1"/>
  <c r="H15" i="1" l="1"/>
  <c r="I15" i="1" l="1"/>
  <c r="K15" i="1" s="1"/>
  <c r="J15" i="1"/>
  <c r="L15" i="1" l="1"/>
  <c r="F16" i="1" s="1"/>
  <c r="H16" i="1" l="1"/>
  <c r="J16" i="1" l="1"/>
  <c r="I16" i="1"/>
  <c r="K16" i="1" s="1"/>
  <c r="L16" i="1" l="1"/>
  <c r="F17" i="1" s="1"/>
  <c r="H17" i="1" l="1"/>
  <c r="J17" i="1" l="1"/>
  <c r="I17" i="1"/>
  <c r="K17" i="1" s="1"/>
  <c r="L17" i="1" l="1"/>
  <c r="F18" i="1" s="1"/>
  <c r="H18" i="1" l="1"/>
  <c r="I18" i="1" l="1"/>
  <c r="K18" i="1" s="1"/>
  <c r="J18" i="1"/>
  <c r="L18" i="1" l="1"/>
  <c r="F19" i="1" s="1"/>
  <c r="H19" i="1" l="1"/>
  <c r="I19" i="1" l="1"/>
  <c r="K19" i="1" s="1"/>
  <c r="J19" i="1"/>
  <c r="L19" i="1" l="1"/>
  <c r="F20" i="1" s="1"/>
  <c r="H20" i="1" l="1"/>
  <c r="I20" i="1" l="1"/>
  <c r="K20" i="1" s="1"/>
  <c r="J20" i="1"/>
  <c r="L20" i="1" l="1"/>
  <c r="F21" i="1" s="1"/>
  <c r="H21" i="1" l="1"/>
  <c r="J21" i="1" l="1"/>
  <c r="I21" i="1"/>
  <c r="K21" i="1" s="1"/>
  <c r="L21" i="1" l="1"/>
  <c r="F22" i="1" s="1"/>
  <c r="H22" i="1" l="1"/>
  <c r="J22" i="1" l="1"/>
  <c r="I22" i="1"/>
  <c r="K22" i="1" s="1"/>
  <c r="L22" i="1" l="1"/>
  <c r="F23" i="1" s="1"/>
  <c r="H23" i="1" l="1"/>
  <c r="I23" i="1" l="1"/>
  <c r="K23" i="1" s="1"/>
  <c r="J23" i="1"/>
  <c r="L23" i="1" l="1"/>
  <c r="F24" i="1" s="1"/>
  <c r="H24" i="1" l="1"/>
  <c r="I24" i="1" l="1"/>
  <c r="K24" i="1" s="1"/>
  <c r="J24" i="1"/>
  <c r="L24" i="1" l="1"/>
  <c r="F25" i="1" s="1"/>
  <c r="H25" i="1" l="1"/>
  <c r="J25" i="1" l="1"/>
  <c r="I25" i="1"/>
  <c r="K25" i="1" s="1"/>
  <c r="L25" i="1" l="1"/>
  <c r="F26" i="1" s="1"/>
  <c r="H26" i="1" l="1"/>
  <c r="I26" i="1" l="1"/>
  <c r="K26" i="1" s="1"/>
  <c r="J26" i="1"/>
  <c r="L26" i="1" l="1"/>
  <c r="F27" i="1" s="1"/>
  <c r="H27" i="1" l="1"/>
  <c r="J27" i="1" l="1"/>
  <c r="I27" i="1"/>
  <c r="K27" i="1" s="1"/>
  <c r="L27" i="1" l="1"/>
  <c r="F28" i="1" s="1"/>
  <c r="H28" i="1" l="1"/>
  <c r="I28" i="1" l="1"/>
  <c r="K28" i="1" s="1"/>
  <c r="J28" i="1"/>
  <c r="L28" i="1" l="1"/>
  <c r="F29" i="1" s="1"/>
  <c r="H29" i="1" l="1"/>
  <c r="J29" i="1" l="1"/>
  <c r="I29" i="1"/>
  <c r="K29" i="1" s="1"/>
  <c r="L29" i="1" l="1"/>
  <c r="F30" i="1" s="1"/>
  <c r="H30" i="1" l="1"/>
  <c r="I30" i="1" l="1"/>
  <c r="K30" i="1" s="1"/>
  <c r="J30" i="1"/>
  <c r="L30" i="1" l="1"/>
  <c r="F31" i="1" s="1"/>
  <c r="H31" i="1" l="1"/>
  <c r="I31" i="1" l="1"/>
  <c r="K31" i="1" s="1"/>
  <c r="J31" i="1"/>
  <c r="L31" i="1" l="1"/>
  <c r="F32" i="1" s="1"/>
  <c r="H32" i="1" l="1"/>
  <c r="J32" i="1" l="1"/>
  <c r="I32" i="1"/>
  <c r="K32" i="1" s="1"/>
  <c r="L32" i="1" l="1"/>
  <c r="F33" i="1" s="1"/>
  <c r="H33" i="1" l="1"/>
  <c r="J33" i="1" l="1"/>
  <c r="L33" i="1" s="1"/>
  <c r="I33" i="1"/>
  <c r="K33" i="1" s="1"/>
  <c r="F34" i="1" l="1"/>
  <c r="H34" i="1" s="1"/>
  <c r="J34" i="1" l="1"/>
  <c r="L34" i="1" s="1"/>
  <c r="I34" i="1"/>
  <c r="K34" i="1" s="1"/>
  <c r="F35" i="1" l="1"/>
  <c r="H35" i="1" l="1"/>
  <c r="J35" i="1" l="1"/>
  <c r="L35" i="1" s="1"/>
  <c r="I35" i="1"/>
  <c r="K35" i="1" s="1"/>
  <c r="F36" i="1" l="1"/>
  <c r="H36" i="1" l="1"/>
  <c r="I36" i="1" l="1"/>
  <c r="K36" i="1" s="1"/>
  <c r="J36" i="1"/>
  <c r="L36" i="1" s="1"/>
  <c r="F37" i="1" s="1"/>
  <c r="H37" i="1" l="1"/>
  <c r="J37" i="1" l="1"/>
  <c r="L37" i="1" s="1"/>
  <c r="I37" i="1"/>
  <c r="K37" i="1" s="1"/>
  <c r="F38" i="1" l="1"/>
  <c r="H38" i="1" l="1"/>
  <c r="J38" i="1" l="1"/>
  <c r="L38" i="1" s="1"/>
  <c r="I38" i="1"/>
  <c r="K38" i="1" s="1"/>
  <c r="F39" i="1" l="1"/>
  <c r="H39" i="1" s="1"/>
  <c r="I39" i="1" l="1"/>
  <c r="K39" i="1" s="1"/>
  <c r="J39" i="1"/>
  <c r="L39" i="1" s="1"/>
  <c r="F40" i="1" s="1"/>
  <c r="H40" i="1" s="1"/>
  <c r="I40" i="1" l="1"/>
  <c r="K40" i="1" s="1"/>
  <c r="J40" i="1"/>
  <c r="L40" i="1" s="1"/>
  <c r="F41" i="1" s="1"/>
  <c r="H41" i="1" s="1"/>
  <c r="J41" i="1" l="1"/>
  <c r="L41" i="1" s="1"/>
  <c r="I41" i="1"/>
  <c r="K41" i="1" s="1"/>
</calcChain>
</file>

<file path=xl/sharedStrings.xml><?xml version="1.0" encoding="utf-8"?>
<sst xmlns="http://schemas.openxmlformats.org/spreadsheetml/2006/main" count="7" uniqueCount="7">
  <si>
    <t>Pop</t>
  </si>
  <si>
    <t>Y</t>
  </si>
  <si>
    <t>y</t>
  </si>
  <si>
    <t>BR</t>
  </si>
  <si>
    <t>DR</t>
  </si>
  <si>
    <t>Births</t>
  </si>
  <si>
    <t>Deaths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</si>
</sst>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7FCFA-5F3E-47F4-B677-999788554D72}">
  <dimension ref="E2:L41"/>
  <sheetViews>
    <sheetView tabSelected="1" zoomScale="145" zoomScaleNormal="145" workbookViewId="0">
      <selection activeCell="I1" sqref="I1"/>
    </sheetView>
  </sheetViews>
  <sheetFormatPr defaultRowHeight="14.5" x14ac:dyDescent="0.35"/>
  <sheetData>
    <row r="2" spans="5:12" x14ac:dyDescent="0.35">
      <c r="I2">
        <v>5.0000000000000001E-3</v>
      </c>
      <c r="J2">
        <v>5.0000000000000001E-3</v>
      </c>
    </row>
    <row r="3" spans="5:12" x14ac:dyDescent="0.35">
      <c r="F3" s="4" t="s">
        <v>0</v>
      </c>
      <c r="G3" s="4" t="s">
        <v>1</v>
      </c>
      <c r="H3" s="4" t="s">
        <v>2</v>
      </c>
      <c r="I3" s="4" t="s">
        <v>3</v>
      </c>
      <c r="J3" s="4" t="s">
        <v>4</v>
      </c>
      <c r="K3" s="4" t="s">
        <v>5</v>
      </c>
      <c r="L3" s="4" t="s">
        <v>6</v>
      </c>
    </row>
    <row r="4" spans="5:12" x14ac:dyDescent="0.35">
      <c r="E4">
        <v>0</v>
      </c>
      <c r="F4">
        <v>10</v>
      </c>
      <c r="G4">
        <v>1000</v>
      </c>
      <c r="H4" s="3">
        <f>+G4/F4</f>
        <v>100</v>
      </c>
      <c r="I4" s="1">
        <f>+H4*$I$2</f>
        <v>0.5</v>
      </c>
      <c r="J4" s="1">
        <f>0.5-H4*$J$2</f>
        <v>0</v>
      </c>
      <c r="K4" s="2">
        <f>+I4*F4</f>
        <v>5</v>
      </c>
      <c r="L4" s="2">
        <f>+F4*J4</f>
        <v>0</v>
      </c>
    </row>
    <row r="5" spans="5:12" x14ac:dyDescent="0.35">
      <c r="E5">
        <v>1</v>
      </c>
      <c r="F5" s="3">
        <f>+F4-L4+K4</f>
        <v>15</v>
      </c>
      <c r="G5">
        <v>1000</v>
      </c>
      <c r="H5" s="3">
        <f>+G5/F5</f>
        <v>66.666666666666671</v>
      </c>
      <c r="I5" s="1">
        <f>+H5*$I$2</f>
        <v>0.33333333333333337</v>
      </c>
      <c r="J5" s="1">
        <f>0.5-H5*$J$2</f>
        <v>0.16666666666666663</v>
      </c>
      <c r="K5" s="2">
        <f>+I5*F5</f>
        <v>5.0000000000000009</v>
      </c>
      <c r="L5" s="2">
        <f>+F5*J5</f>
        <v>2.4999999999999996</v>
      </c>
    </row>
    <row r="6" spans="5:12" x14ac:dyDescent="0.35">
      <c r="E6">
        <v>2</v>
      </c>
      <c r="F6" s="3">
        <f t="shared" ref="F6:F33" si="0">+F5-L5+K5</f>
        <v>17.5</v>
      </c>
      <c r="G6">
        <v>1000</v>
      </c>
      <c r="H6" s="3">
        <f>+G6/F6</f>
        <v>57.142857142857146</v>
      </c>
      <c r="I6" s="1">
        <f>+H6*$I$2</f>
        <v>0.28571428571428575</v>
      </c>
      <c r="J6" s="1">
        <f>0.5-H6*$J$2</f>
        <v>0.21428571428571425</v>
      </c>
      <c r="K6" s="2">
        <f>+I6*F6</f>
        <v>5.0000000000000009</v>
      </c>
      <c r="L6" s="2">
        <f>+F6*J6</f>
        <v>3.7499999999999991</v>
      </c>
    </row>
    <row r="7" spans="5:12" x14ac:dyDescent="0.35">
      <c r="E7">
        <v>3</v>
      </c>
      <c r="F7" s="3">
        <f t="shared" si="0"/>
        <v>18.75</v>
      </c>
      <c r="G7">
        <v>1001</v>
      </c>
      <c r="H7" s="3">
        <f t="shared" ref="H7:H33" si="1">+G7/F7</f>
        <v>53.386666666666663</v>
      </c>
      <c r="I7" s="1">
        <f t="shared" ref="I7:I41" si="2">+H7*$I$2</f>
        <v>0.2669333333333333</v>
      </c>
      <c r="J7" s="1">
        <f t="shared" ref="J7:J33" si="3">0.5-H7*$J$2</f>
        <v>0.2330666666666667</v>
      </c>
      <c r="K7" s="2">
        <f t="shared" ref="K7:K33" si="4">+I7*F7</f>
        <v>5.004999999999999</v>
      </c>
      <c r="L7" s="2">
        <f t="shared" ref="L7:L33" si="5">+F7*J7</f>
        <v>4.370000000000001</v>
      </c>
    </row>
    <row r="8" spans="5:12" x14ac:dyDescent="0.35">
      <c r="E8">
        <v>4</v>
      </c>
      <c r="F8" s="3">
        <f t="shared" si="0"/>
        <v>19.384999999999998</v>
      </c>
      <c r="G8">
        <v>1002</v>
      </c>
      <c r="H8" s="3">
        <f t="shared" si="1"/>
        <v>51.68945060613877</v>
      </c>
      <c r="I8" s="1">
        <f t="shared" si="2"/>
        <v>0.25844725303069388</v>
      </c>
      <c r="J8" s="1">
        <f t="shared" si="3"/>
        <v>0.24155274696930612</v>
      </c>
      <c r="K8" s="2">
        <f t="shared" si="4"/>
        <v>5.0100000000000007</v>
      </c>
      <c r="L8" s="2">
        <f t="shared" si="5"/>
        <v>4.6824999999999983</v>
      </c>
    </row>
    <row r="9" spans="5:12" x14ac:dyDescent="0.35">
      <c r="E9">
        <v>5</v>
      </c>
      <c r="F9" s="3">
        <f t="shared" si="0"/>
        <v>19.712500000000002</v>
      </c>
      <c r="G9">
        <v>1003</v>
      </c>
      <c r="H9" s="3">
        <f t="shared" si="1"/>
        <v>50.881420418516164</v>
      </c>
      <c r="I9" s="1">
        <f t="shared" si="2"/>
        <v>0.25440710209258083</v>
      </c>
      <c r="J9" s="1">
        <f t="shared" si="3"/>
        <v>0.24559289790741917</v>
      </c>
      <c r="K9" s="2">
        <f t="shared" si="4"/>
        <v>5.0149999999999997</v>
      </c>
      <c r="L9" s="2">
        <f t="shared" si="5"/>
        <v>4.8412500000000014</v>
      </c>
    </row>
    <row r="10" spans="5:12" x14ac:dyDescent="0.35">
      <c r="E10">
        <v>6</v>
      </c>
      <c r="F10" s="3">
        <f t="shared" si="0"/>
        <v>19.88625</v>
      </c>
      <c r="G10">
        <v>1004</v>
      </c>
      <c r="H10" s="3">
        <f t="shared" si="1"/>
        <v>50.487145640832232</v>
      </c>
      <c r="I10" s="1">
        <f t="shared" si="2"/>
        <v>0.25243572820416116</v>
      </c>
      <c r="J10" s="1">
        <f t="shared" si="3"/>
        <v>0.24756427179583884</v>
      </c>
      <c r="K10" s="2">
        <f t="shared" si="4"/>
        <v>5.0199999999999996</v>
      </c>
      <c r="L10" s="2">
        <f t="shared" si="5"/>
        <v>4.9231250000000006</v>
      </c>
    </row>
    <row r="11" spans="5:12" x14ac:dyDescent="0.35">
      <c r="E11">
        <v>7</v>
      </c>
      <c r="F11" s="3">
        <f t="shared" si="0"/>
        <v>19.983125000000001</v>
      </c>
      <c r="G11">
        <v>1005</v>
      </c>
      <c r="H11" s="3">
        <f t="shared" si="1"/>
        <v>50.29243424139117</v>
      </c>
      <c r="I11" s="1">
        <f t="shared" si="2"/>
        <v>0.25146217120695585</v>
      </c>
      <c r="J11" s="1">
        <f t="shared" si="3"/>
        <v>0.24853782879304415</v>
      </c>
      <c r="K11" s="2">
        <f t="shared" si="4"/>
        <v>5.0250000000000004</v>
      </c>
      <c r="L11" s="2">
        <f t="shared" si="5"/>
        <v>4.9665625000000002</v>
      </c>
    </row>
    <row r="12" spans="5:12" x14ac:dyDescent="0.35">
      <c r="E12">
        <v>8</v>
      </c>
      <c r="F12" s="3">
        <f t="shared" si="0"/>
        <v>20.041562500000001</v>
      </c>
      <c r="G12">
        <v>1006</v>
      </c>
      <c r="H12" s="3">
        <f t="shared" si="1"/>
        <v>50.195687087770722</v>
      </c>
      <c r="I12" s="1">
        <f t="shared" si="2"/>
        <v>0.25097843543885362</v>
      </c>
      <c r="J12" s="1">
        <f t="shared" si="3"/>
        <v>0.24902156456114638</v>
      </c>
      <c r="K12" s="2">
        <f t="shared" si="4"/>
        <v>5.03</v>
      </c>
      <c r="L12" s="2">
        <f t="shared" si="5"/>
        <v>4.9907812500000004</v>
      </c>
    </row>
    <row r="13" spans="5:12" x14ac:dyDescent="0.35">
      <c r="E13">
        <v>9</v>
      </c>
      <c r="F13" s="3">
        <f t="shared" si="0"/>
        <v>20.080781250000001</v>
      </c>
      <c r="G13">
        <v>1007</v>
      </c>
      <c r="H13" s="3">
        <f t="shared" si="1"/>
        <v>50.147451309943428</v>
      </c>
      <c r="I13" s="1">
        <f t="shared" si="2"/>
        <v>0.25073725654971712</v>
      </c>
      <c r="J13" s="1">
        <f t="shared" si="3"/>
        <v>0.24926274345028288</v>
      </c>
      <c r="K13" s="2">
        <f t="shared" si="4"/>
        <v>5.0349999999999993</v>
      </c>
      <c r="L13" s="2">
        <f t="shared" si="5"/>
        <v>5.0053906250000013</v>
      </c>
    </row>
    <row r="14" spans="5:12" x14ac:dyDescent="0.35">
      <c r="E14">
        <v>10</v>
      </c>
      <c r="F14" s="3">
        <f t="shared" si="0"/>
        <v>20.110390625000001</v>
      </c>
      <c r="G14">
        <v>1008</v>
      </c>
      <c r="H14" s="3">
        <f t="shared" si="1"/>
        <v>50.123342643922413</v>
      </c>
      <c r="I14" s="1">
        <f t="shared" si="2"/>
        <v>0.2506167132196121</v>
      </c>
      <c r="J14" s="1">
        <f t="shared" si="3"/>
        <v>0.2493832867803879</v>
      </c>
      <c r="K14" s="2">
        <f t="shared" si="4"/>
        <v>5.0400000000000009</v>
      </c>
      <c r="L14" s="2">
        <f t="shared" si="5"/>
        <v>5.0151953124999995</v>
      </c>
    </row>
    <row r="15" spans="5:12" x14ac:dyDescent="0.35">
      <c r="E15">
        <v>11</v>
      </c>
      <c r="F15" s="3">
        <f t="shared" si="0"/>
        <v>20.135195312500002</v>
      </c>
      <c r="G15">
        <v>1009</v>
      </c>
      <c r="H15" s="3">
        <f t="shared" si="1"/>
        <v>50.111259629729496</v>
      </c>
      <c r="I15" s="1">
        <f t="shared" si="2"/>
        <v>0.25055629814864749</v>
      </c>
      <c r="J15" s="1">
        <f t="shared" si="3"/>
        <v>0.24944370185135251</v>
      </c>
      <c r="K15" s="2">
        <f t="shared" si="4"/>
        <v>5.0449999999999999</v>
      </c>
      <c r="L15" s="2">
        <f t="shared" si="5"/>
        <v>5.0225976562500012</v>
      </c>
    </row>
    <row r="16" spans="5:12" x14ac:dyDescent="0.35">
      <c r="E16">
        <v>12</v>
      </c>
      <c r="F16" s="3">
        <f t="shared" si="0"/>
        <v>20.157597656250001</v>
      </c>
      <c r="G16">
        <v>1010</v>
      </c>
      <c r="H16" s="3">
        <f t="shared" si="1"/>
        <v>50.105177076338883</v>
      </c>
      <c r="I16" s="1">
        <f t="shared" si="2"/>
        <v>0.2505258853816944</v>
      </c>
      <c r="J16" s="1">
        <f t="shared" si="3"/>
        <v>0.2494741146183056</v>
      </c>
      <c r="K16" s="2">
        <f t="shared" si="4"/>
        <v>5.05</v>
      </c>
      <c r="L16" s="2">
        <f t="shared" si="5"/>
        <v>5.0287988281250007</v>
      </c>
    </row>
    <row r="17" spans="5:12" x14ac:dyDescent="0.35">
      <c r="E17">
        <v>13</v>
      </c>
      <c r="F17" s="3">
        <f t="shared" si="0"/>
        <v>20.178798828125</v>
      </c>
      <c r="G17">
        <v>1011</v>
      </c>
      <c r="H17" s="3">
        <f t="shared" si="1"/>
        <v>50.102090248844682</v>
      </c>
      <c r="I17" s="1">
        <f t="shared" si="2"/>
        <v>0.25051045124422344</v>
      </c>
      <c r="J17" s="1">
        <f t="shared" si="3"/>
        <v>0.24948954875577656</v>
      </c>
      <c r="K17" s="2">
        <f t="shared" si="4"/>
        <v>5.0550000000000006</v>
      </c>
      <c r="L17" s="2">
        <f t="shared" si="5"/>
        <v>5.0343994140624995</v>
      </c>
    </row>
    <row r="18" spans="5:12" x14ac:dyDescent="0.35">
      <c r="E18">
        <v>14</v>
      </c>
      <c r="F18" s="3">
        <f t="shared" si="0"/>
        <v>20.199399414062501</v>
      </c>
      <c r="G18">
        <v>1012</v>
      </c>
      <c r="H18" s="3">
        <f t="shared" si="1"/>
        <v>50.100499487893764</v>
      </c>
      <c r="I18" s="1">
        <f t="shared" si="2"/>
        <v>0.25050249743946884</v>
      </c>
      <c r="J18" s="1">
        <f t="shared" si="3"/>
        <v>0.24949750256053116</v>
      </c>
      <c r="K18" s="2">
        <f t="shared" si="4"/>
        <v>5.0600000000000005</v>
      </c>
      <c r="L18" s="2">
        <f t="shared" si="5"/>
        <v>5.0396997070312501</v>
      </c>
    </row>
    <row r="19" spans="5:12" x14ac:dyDescent="0.35">
      <c r="E19">
        <v>15</v>
      </c>
      <c r="F19" s="3">
        <f t="shared" si="0"/>
        <v>20.219699707031253</v>
      </c>
      <c r="G19">
        <v>1013</v>
      </c>
      <c r="H19" s="3">
        <f t="shared" si="1"/>
        <v>50.099656012583445</v>
      </c>
      <c r="I19" s="1">
        <f t="shared" si="2"/>
        <v>0.25049828006291724</v>
      </c>
      <c r="J19" s="1">
        <f t="shared" si="3"/>
        <v>0.24950171993708276</v>
      </c>
      <c r="K19" s="2">
        <f t="shared" si="4"/>
        <v>5.0650000000000004</v>
      </c>
      <c r="L19" s="2">
        <f t="shared" si="5"/>
        <v>5.0448498535156263</v>
      </c>
    </row>
    <row r="20" spans="5:12" x14ac:dyDescent="0.35">
      <c r="E20">
        <v>16</v>
      </c>
      <c r="F20" s="3">
        <f t="shared" si="0"/>
        <v>20.239849853515629</v>
      </c>
      <c r="G20">
        <v>1014</v>
      </c>
      <c r="H20" s="3">
        <f t="shared" si="1"/>
        <v>50.099185880268266</v>
      </c>
      <c r="I20" s="1">
        <f t="shared" si="2"/>
        <v>0.25049592940134136</v>
      </c>
      <c r="J20" s="1">
        <f t="shared" si="3"/>
        <v>0.24950407059865864</v>
      </c>
      <c r="K20" s="2">
        <f t="shared" si="4"/>
        <v>5.07</v>
      </c>
      <c r="L20" s="2">
        <f t="shared" si="5"/>
        <v>5.0499249267578143</v>
      </c>
    </row>
    <row r="21" spans="5:12" x14ac:dyDescent="0.35">
      <c r="E21">
        <v>17</v>
      </c>
      <c r="F21" s="3">
        <f t="shared" si="0"/>
        <v>20.259924926757815</v>
      </c>
      <c r="G21">
        <v>1015</v>
      </c>
      <c r="H21" s="3">
        <f t="shared" si="1"/>
        <v>50.098902324137583</v>
      </c>
      <c r="I21" s="1">
        <f t="shared" si="2"/>
        <v>0.25049451162068792</v>
      </c>
      <c r="J21" s="1">
        <f t="shared" si="3"/>
        <v>0.24950548837931208</v>
      </c>
      <c r="K21" s="2">
        <f t="shared" si="4"/>
        <v>5.0750000000000002</v>
      </c>
      <c r="L21" s="2">
        <f t="shared" si="5"/>
        <v>5.0549624633789074</v>
      </c>
    </row>
    <row r="22" spans="5:12" x14ac:dyDescent="0.35">
      <c r="E22">
        <v>18</v>
      </c>
      <c r="F22" s="3">
        <f t="shared" si="0"/>
        <v>20.279962463378908</v>
      </c>
      <c r="G22">
        <v>1016</v>
      </c>
      <c r="H22" s="3">
        <f t="shared" si="1"/>
        <v>50.098712058006498</v>
      </c>
      <c r="I22" s="1">
        <f t="shared" si="2"/>
        <v>0.2504935602900325</v>
      </c>
      <c r="J22" s="1">
        <f t="shared" si="3"/>
        <v>0.2495064397099675</v>
      </c>
      <c r="K22" s="2">
        <f t="shared" si="4"/>
        <v>5.080000000000001</v>
      </c>
      <c r="L22" s="2">
        <f t="shared" si="5"/>
        <v>5.059981231689453</v>
      </c>
    </row>
    <row r="23" spans="5:12" x14ac:dyDescent="0.35">
      <c r="E23">
        <v>19</v>
      </c>
      <c r="F23" s="3">
        <f t="shared" si="0"/>
        <v>20.299981231689458</v>
      </c>
      <c r="G23">
        <v>1017</v>
      </c>
      <c r="H23" s="3">
        <f t="shared" si="1"/>
        <v>50.098568485984785</v>
      </c>
      <c r="I23" s="1">
        <f t="shared" si="2"/>
        <v>0.25049284242992392</v>
      </c>
      <c r="J23" s="1">
        <f t="shared" si="3"/>
        <v>0.24950715757007608</v>
      </c>
      <c r="K23" s="2">
        <f t="shared" si="4"/>
        <v>5.085</v>
      </c>
      <c r="L23" s="2">
        <f t="shared" si="5"/>
        <v>5.0649906158447289</v>
      </c>
    </row>
    <row r="24" spans="5:12" x14ac:dyDescent="0.35">
      <c r="E24">
        <v>20</v>
      </c>
      <c r="F24" s="3">
        <f t="shared" si="0"/>
        <v>20.319990615844731</v>
      </c>
      <c r="G24">
        <v>1018</v>
      </c>
      <c r="H24" s="3">
        <f t="shared" si="1"/>
        <v>50.098448333248911</v>
      </c>
      <c r="I24" s="1">
        <f t="shared" si="2"/>
        <v>0.25049224166624456</v>
      </c>
      <c r="J24" s="1">
        <f t="shared" si="3"/>
        <v>0.24950775833375544</v>
      </c>
      <c r="K24" s="2">
        <f t="shared" si="4"/>
        <v>5.09</v>
      </c>
      <c r="L24" s="2">
        <f t="shared" si="5"/>
        <v>5.0699953079223654</v>
      </c>
    </row>
    <row r="25" spans="5:12" x14ac:dyDescent="0.35">
      <c r="E25">
        <v>21</v>
      </c>
      <c r="F25" s="3">
        <f t="shared" si="0"/>
        <v>20.339995307922365</v>
      </c>
      <c r="G25">
        <v>1019</v>
      </c>
      <c r="H25" s="3">
        <f t="shared" si="1"/>
        <v>50.098339973711923</v>
      </c>
      <c r="I25" s="1">
        <f t="shared" si="2"/>
        <v>0.25049169986855963</v>
      </c>
      <c r="J25" s="1">
        <f t="shared" si="3"/>
        <v>0.24950830013144037</v>
      </c>
      <c r="K25" s="2">
        <f t="shared" si="4"/>
        <v>5.0949999999999998</v>
      </c>
      <c r="L25" s="2">
        <f t="shared" si="5"/>
        <v>5.0749976539611827</v>
      </c>
    </row>
    <row r="26" spans="5:12" x14ac:dyDescent="0.35">
      <c r="E26">
        <v>22</v>
      </c>
      <c r="F26" s="3">
        <f t="shared" si="0"/>
        <v>20.35999765396118</v>
      </c>
      <c r="G26">
        <v>1020</v>
      </c>
      <c r="H26" s="3">
        <f t="shared" si="1"/>
        <v>50.098237599823683</v>
      </c>
      <c r="I26" s="1">
        <f t="shared" si="2"/>
        <v>0.2504911879991184</v>
      </c>
      <c r="J26" s="1">
        <f t="shared" si="3"/>
        <v>0.2495088120008816</v>
      </c>
      <c r="K26" s="2">
        <f t="shared" si="4"/>
        <v>5.0999999999999996</v>
      </c>
      <c r="L26" s="2">
        <f t="shared" si="5"/>
        <v>5.0799988269805905</v>
      </c>
    </row>
    <row r="27" spans="5:12" x14ac:dyDescent="0.35">
      <c r="E27">
        <v>23</v>
      </c>
      <c r="F27" s="3">
        <f t="shared" si="0"/>
        <v>20.379998826980589</v>
      </c>
      <c r="G27">
        <v>1021</v>
      </c>
      <c r="H27" s="3">
        <f t="shared" si="1"/>
        <v>50.098138310406704</v>
      </c>
      <c r="I27" s="1">
        <f t="shared" si="2"/>
        <v>0.25049069155203352</v>
      </c>
      <c r="J27" s="1">
        <f t="shared" si="3"/>
        <v>0.24950930844796648</v>
      </c>
      <c r="K27" s="2">
        <f t="shared" si="4"/>
        <v>5.1049999999999995</v>
      </c>
      <c r="L27" s="2">
        <f t="shared" si="5"/>
        <v>5.0849994134902952</v>
      </c>
    </row>
    <row r="28" spans="5:12" x14ac:dyDescent="0.35">
      <c r="E28">
        <v>24</v>
      </c>
      <c r="F28" s="3">
        <f t="shared" si="0"/>
        <v>20.399999413490296</v>
      </c>
      <c r="G28">
        <v>1022</v>
      </c>
      <c r="H28" s="3">
        <f t="shared" si="1"/>
        <v>50.098040656028772</v>
      </c>
      <c r="I28" s="1">
        <f t="shared" si="2"/>
        <v>0.25049020328014387</v>
      </c>
      <c r="J28" s="1">
        <f t="shared" si="3"/>
        <v>0.24950979671985613</v>
      </c>
      <c r="K28" s="2">
        <f t="shared" si="4"/>
        <v>5.1100000000000003</v>
      </c>
      <c r="L28" s="2">
        <f t="shared" si="5"/>
        <v>5.0899997067451475</v>
      </c>
    </row>
    <row r="29" spans="5:12" x14ac:dyDescent="0.35">
      <c r="E29">
        <v>25</v>
      </c>
      <c r="F29" s="3">
        <f t="shared" si="0"/>
        <v>20.419999706745148</v>
      </c>
      <c r="G29">
        <v>1023</v>
      </c>
      <c r="H29" s="3">
        <f t="shared" si="1"/>
        <v>50.097943912412589</v>
      </c>
      <c r="I29" s="1">
        <f t="shared" si="2"/>
        <v>0.25048971956206295</v>
      </c>
      <c r="J29" s="1">
        <f t="shared" si="3"/>
        <v>0.24951028043793705</v>
      </c>
      <c r="K29" s="2">
        <f t="shared" si="4"/>
        <v>5.1150000000000002</v>
      </c>
      <c r="L29" s="2">
        <f t="shared" si="5"/>
        <v>5.094999853372574</v>
      </c>
    </row>
    <row r="30" spans="5:12" x14ac:dyDescent="0.35">
      <c r="E30">
        <v>26</v>
      </c>
      <c r="F30" s="3">
        <f t="shared" si="0"/>
        <v>20.439999853372576</v>
      </c>
      <c r="G30">
        <v>1024</v>
      </c>
      <c r="H30" s="3">
        <f t="shared" si="1"/>
        <v>50.097847717500898</v>
      </c>
      <c r="I30" s="1">
        <f t="shared" si="2"/>
        <v>0.25048923858750449</v>
      </c>
      <c r="J30" s="1">
        <f t="shared" si="3"/>
        <v>0.24951076141249551</v>
      </c>
      <c r="K30" s="2">
        <f t="shared" si="4"/>
        <v>5.12</v>
      </c>
      <c r="L30" s="2">
        <f t="shared" si="5"/>
        <v>5.0999999266862881</v>
      </c>
    </row>
    <row r="31" spans="5:12" x14ac:dyDescent="0.35">
      <c r="E31">
        <v>27</v>
      </c>
      <c r="F31" s="3">
        <f t="shared" si="0"/>
        <v>20.45999992668629</v>
      </c>
      <c r="G31">
        <v>1025</v>
      </c>
      <c r="H31" s="3">
        <f t="shared" si="1"/>
        <v>50.097751890168723</v>
      </c>
      <c r="I31" s="1">
        <f t="shared" si="2"/>
        <v>0.25048875945084365</v>
      </c>
      <c r="J31" s="1">
        <f t="shared" si="3"/>
        <v>0.24951124054915635</v>
      </c>
      <c r="K31" s="2">
        <f t="shared" si="4"/>
        <v>5.1250000000000009</v>
      </c>
      <c r="L31" s="2">
        <f t="shared" si="5"/>
        <v>5.1049999633431442</v>
      </c>
    </row>
    <row r="32" spans="5:12" x14ac:dyDescent="0.35">
      <c r="E32">
        <v>28</v>
      </c>
      <c r="F32" s="3">
        <f t="shared" si="0"/>
        <v>20.479999963343147</v>
      </c>
      <c r="G32">
        <v>1026</v>
      </c>
      <c r="H32" s="3">
        <f t="shared" si="1"/>
        <v>50.097656339669065</v>
      </c>
      <c r="I32" s="1">
        <f t="shared" si="2"/>
        <v>0.25048828169834531</v>
      </c>
      <c r="J32" s="1">
        <f t="shared" si="3"/>
        <v>0.24951171830165469</v>
      </c>
      <c r="K32" s="2">
        <f t="shared" si="4"/>
        <v>5.13</v>
      </c>
      <c r="L32" s="2">
        <f t="shared" si="5"/>
        <v>5.1099999816715735</v>
      </c>
    </row>
    <row r="33" spans="5:12" x14ac:dyDescent="0.35">
      <c r="E33">
        <v>29</v>
      </c>
      <c r="F33" s="3">
        <f t="shared" si="0"/>
        <v>20.499999981671571</v>
      </c>
      <c r="G33">
        <v>1027</v>
      </c>
      <c r="H33" s="3">
        <f t="shared" si="1"/>
        <v>50.09756102040047</v>
      </c>
      <c r="I33" s="1">
        <f t="shared" si="2"/>
        <v>0.25048780510200236</v>
      </c>
      <c r="J33" s="1">
        <f t="shared" si="3"/>
        <v>0.24951219489799764</v>
      </c>
      <c r="K33" s="2">
        <f t="shared" si="4"/>
        <v>5.1350000000000007</v>
      </c>
      <c r="L33" s="2">
        <f t="shared" si="5"/>
        <v>5.114999990835785</v>
      </c>
    </row>
    <row r="34" spans="5:12" x14ac:dyDescent="0.35">
      <c r="E34">
        <v>30</v>
      </c>
      <c r="F34" s="3">
        <f t="shared" ref="F34:F41" si="6">+F33-L33+K33</f>
        <v>20.519999990835789</v>
      </c>
      <c r="G34">
        <v>1028</v>
      </c>
      <c r="H34" s="3">
        <f t="shared" ref="H34:H41" si="7">+G34/F34</f>
        <v>50.097465909313051</v>
      </c>
      <c r="I34" s="1">
        <f t="shared" si="2"/>
        <v>0.25048732954656527</v>
      </c>
      <c r="J34" s="1">
        <f t="shared" ref="J34:J41" si="8">0.5-H34*$J$2</f>
        <v>0.24951267045343473</v>
      </c>
      <c r="K34" s="2">
        <f t="shared" ref="K34:K41" si="9">+I34*F34</f>
        <v>5.1400000000000006</v>
      </c>
      <c r="L34" s="2">
        <f t="shared" ref="L34:L41" si="10">+F34*J34</f>
        <v>5.1199999954178939</v>
      </c>
    </row>
    <row r="35" spans="5:12" x14ac:dyDescent="0.35">
      <c r="E35">
        <v>31</v>
      </c>
      <c r="F35" s="3">
        <f t="shared" si="6"/>
        <v>20.539999995417894</v>
      </c>
      <c r="G35">
        <v>1029</v>
      </c>
      <c r="H35" s="3">
        <f t="shared" si="7"/>
        <v>50.097370994622757</v>
      </c>
      <c r="I35" s="1">
        <f t="shared" si="2"/>
        <v>0.25048685497311379</v>
      </c>
      <c r="J35" s="1">
        <f t="shared" si="8"/>
        <v>0.24951314502688621</v>
      </c>
      <c r="K35" s="2">
        <f t="shared" si="9"/>
        <v>5.1449999999999996</v>
      </c>
      <c r="L35" s="2">
        <f t="shared" si="10"/>
        <v>5.1249999977089473</v>
      </c>
    </row>
    <row r="36" spans="5:12" x14ac:dyDescent="0.35">
      <c r="E36">
        <v>32</v>
      </c>
      <c r="F36" s="3">
        <f t="shared" si="6"/>
        <v>20.559999997708946</v>
      </c>
      <c r="G36">
        <v>1030</v>
      </c>
      <c r="H36" s="3">
        <f t="shared" si="7"/>
        <v>50.097276270173907</v>
      </c>
      <c r="I36" s="1">
        <f t="shared" si="2"/>
        <v>0.25048638135086954</v>
      </c>
      <c r="J36" s="1">
        <f t="shared" si="8"/>
        <v>0.24951361864913046</v>
      </c>
      <c r="K36" s="2">
        <f t="shared" si="9"/>
        <v>5.1499999999999995</v>
      </c>
      <c r="L36" s="2">
        <f t="shared" si="10"/>
        <v>5.1299999988544736</v>
      </c>
    </row>
    <row r="37" spans="5:12" x14ac:dyDescent="0.35">
      <c r="E37">
        <v>33</v>
      </c>
      <c r="F37" s="3">
        <f t="shared" si="6"/>
        <v>20.579999998854472</v>
      </c>
      <c r="G37">
        <v>1031</v>
      </c>
      <c r="H37" s="3">
        <f t="shared" si="7"/>
        <v>50.097181732623312</v>
      </c>
      <c r="I37" s="1">
        <f t="shared" si="2"/>
        <v>0.25048590866311654</v>
      </c>
      <c r="J37" s="1">
        <f t="shared" si="8"/>
        <v>0.24951409133688346</v>
      </c>
      <c r="K37" s="2">
        <f t="shared" si="9"/>
        <v>5.1549999999999994</v>
      </c>
      <c r="L37" s="2">
        <f t="shared" si="10"/>
        <v>5.1349999994272366</v>
      </c>
    </row>
    <row r="38" spans="5:12" x14ac:dyDescent="0.35">
      <c r="E38">
        <v>34</v>
      </c>
      <c r="F38" s="3">
        <f t="shared" si="6"/>
        <v>20.599999999427233</v>
      </c>
      <c r="G38">
        <v>1032</v>
      </c>
      <c r="H38" s="3">
        <f t="shared" si="7"/>
        <v>50.097087380033685</v>
      </c>
      <c r="I38" s="1">
        <f t="shared" si="2"/>
        <v>0.25048543690016845</v>
      </c>
      <c r="J38" s="1">
        <f t="shared" si="8"/>
        <v>0.24951456309983155</v>
      </c>
      <c r="K38" s="2">
        <f t="shared" si="9"/>
        <v>5.16</v>
      </c>
      <c r="L38" s="2">
        <f t="shared" si="10"/>
        <v>5.1399999997136163</v>
      </c>
    </row>
    <row r="39" spans="5:12" x14ac:dyDescent="0.35">
      <c r="E39">
        <v>35</v>
      </c>
      <c r="F39" s="3">
        <f t="shared" si="6"/>
        <v>20.619999999713617</v>
      </c>
      <c r="G39">
        <v>1033</v>
      </c>
      <c r="H39" s="3">
        <f t="shared" si="7"/>
        <v>50.096993211171046</v>
      </c>
      <c r="I39" s="1">
        <f t="shared" si="2"/>
        <v>0.25048496605585524</v>
      </c>
      <c r="J39" s="1">
        <f t="shared" si="8"/>
        <v>0.24951503394414476</v>
      </c>
      <c r="K39" s="2">
        <f t="shared" si="9"/>
        <v>5.165</v>
      </c>
      <c r="L39" s="2">
        <f t="shared" si="10"/>
        <v>5.1449999998568083</v>
      </c>
    </row>
    <row r="40" spans="5:12" x14ac:dyDescent="0.35">
      <c r="E40">
        <v>36</v>
      </c>
      <c r="F40" s="3">
        <f t="shared" si="6"/>
        <v>20.639999999856808</v>
      </c>
      <c r="G40">
        <v>1034</v>
      </c>
      <c r="H40" s="3">
        <f t="shared" si="7"/>
        <v>50.096899225153756</v>
      </c>
      <c r="I40" s="1">
        <f t="shared" si="2"/>
        <v>0.25048449612576879</v>
      </c>
      <c r="J40" s="1">
        <f t="shared" si="8"/>
        <v>0.24951550387423121</v>
      </c>
      <c r="K40" s="2">
        <f t="shared" si="9"/>
        <v>5.1700000000000008</v>
      </c>
      <c r="L40" s="2">
        <f t="shared" si="10"/>
        <v>5.1499999999284034</v>
      </c>
    </row>
    <row r="41" spans="5:12" x14ac:dyDescent="0.35">
      <c r="E41">
        <v>37</v>
      </c>
      <c r="F41" s="3">
        <f t="shared" si="6"/>
        <v>20.659999999928406</v>
      </c>
      <c r="G41">
        <v>1035</v>
      </c>
      <c r="H41" s="3">
        <f t="shared" si="7"/>
        <v>50.096805421277182</v>
      </c>
      <c r="I41" s="1">
        <f t="shared" si="2"/>
        <v>0.2504840271063859</v>
      </c>
      <c r="J41" s="1">
        <f t="shared" si="8"/>
        <v>0.2495159728936141</v>
      </c>
      <c r="K41" s="2">
        <f t="shared" si="9"/>
        <v>5.1749999999999998</v>
      </c>
      <c r="L41" s="2">
        <f t="shared" si="10"/>
        <v>5.1549999999642031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Conning</dc:creator>
  <cp:lastModifiedBy>Jonathan Conning</cp:lastModifiedBy>
  <dcterms:created xsi:type="dcterms:W3CDTF">2023-02-08T22:25:54Z</dcterms:created>
  <dcterms:modified xsi:type="dcterms:W3CDTF">2023-02-11T16:08:42Z</dcterms:modified>
</cp:coreProperties>
</file>